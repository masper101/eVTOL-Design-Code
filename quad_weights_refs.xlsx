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per101/Personal Projects/eVTOL-Design-Code/"/>
    </mc:Choice>
  </mc:AlternateContent>
  <xr:revisionPtr revIDLastSave="0" documentId="13_ncr:1_{260D1620-772E-2948-A362-791F976E1B07}" xr6:coauthVersionLast="47" xr6:coauthVersionMax="47" xr10:uidLastSave="{00000000-0000-0000-0000-000000000000}"/>
  <bookViews>
    <workbookView xWindow="380" yWindow="500" windowWidth="28040" windowHeight="16260" xr2:uid="{F833CC4A-AFA2-914F-BDE5-4F93ABD907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E4" i="1"/>
  <c r="F4" i="1"/>
  <c r="H4" i="1"/>
  <c r="I4" i="1"/>
  <c r="G3" i="1"/>
  <c r="F3" i="1"/>
  <c r="D3" i="1"/>
  <c r="C3" i="1"/>
  <c r="B3" i="1"/>
  <c r="J3" i="1"/>
  <c r="J2" i="1"/>
  <c r="G2" i="1" s="1"/>
  <c r="B2" i="1"/>
  <c r="C2" i="1" l="1"/>
  <c r="D2" i="1"/>
  <c r="F2" i="1"/>
</calcChain>
</file>

<file path=xl/sharedStrings.xml><?xml version="1.0" encoding="utf-8"?>
<sst xmlns="http://schemas.openxmlformats.org/spreadsheetml/2006/main" count="19" uniqueCount="18">
  <si>
    <t>Aircraft</t>
  </si>
  <si>
    <t>nasa_quad1</t>
  </si>
  <si>
    <t>Wpay (g)</t>
  </si>
  <si>
    <t>Wb (g)</t>
  </si>
  <si>
    <t>Wm (g)</t>
  </si>
  <si>
    <t>Ws (g)</t>
  </si>
  <si>
    <t>Wsys (g)</t>
  </si>
  <si>
    <t>Wr (g)</t>
  </si>
  <si>
    <t>WTO (g)</t>
  </si>
  <si>
    <t>ref</t>
  </si>
  <si>
    <t>https://www.cambridge.org/core/journals/aeronautical-journal/article/abs/nasa-concept-vehicles-and-the-engineering-of-advanced-air-mobility-aircraft/AA7E668D759491B1889299819A2F2715</t>
  </si>
  <si>
    <t>Unit Conversions</t>
  </si>
  <si>
    <t>lb-to-g</t>
  </si>
  <si>
    <t>Wprop (g)</t>
  </si>
  <si>
    <t>nasa_quad2</t>
  </si>
  <si>
    <t>dji_quad</t>
  </si>
  <si>
    <t>https://www.researchgate.net/publication/312110355_Design_Methodology_for_Small_Scale_Unmanned_Quadrotors/figures?lo=1</t>
  </si>
  <si>
    <t>Wc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</si>
</sst>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dji</a:t>
            </a:r>
            <a:r>
              <a:rPr lang="en-US" baseline="0"/>
              <a:t> quadrotor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57-C948-B67E-B7EA344B81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57-C948-B67E-B7EA344B81E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57-C948-B67E-B7EA344B81E3}"/>
              </c:ext>
            </c:extLst>
          </c:dPt>
          <c:dLbls>
            <c:dLbl>
              <c:idx val="0"/>
              <c:layout>
                <c:manualLayout>
                  <c:x val="5.5555555555555552E-2"/>
                  <c:y val="-0.1296296296296296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57-C948-B67E-B7EA344B81E3}"/>
                </c:ext>
              </c:extLst>
            </c:dLbl>
            <c:dLbl>
              <c:idx val="6"/>
              <c:layout>
                <c:manualLayout>
                  <c:x val="-4.4444444444444391E-2"/>
                  <c:y val="-0.1296296296296296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57-C948-B67E-B7EA344B81E3}"/>
                </c:ext>
              </c:extLst>
            </c:dLbl>
            <c:dLbl>
              <c:idx val="7"/>
              <c:layout>
                <c:manualLayout>
                  <c:x val="0"/>
                  <c:y val="-0.1296296296296296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957-C948-B67E-B7EA344B81E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Sheet1!$B$1:$I$1</c:f>
              <c:strCache>
                <c:ptCount val="8"/>
                <c:pt idx="0">
                  <c:v>Wpay (g)</c:v>
                </c:pt>
                <c:pt idx="1">
                  <c:v>Wb (g)</c:v>
                </c:pt>
                <c:pt idx="2">
                  <c:v>Wprop (g)</c:v>
                </c:pt>
                <c:pt idx="3">
                  <c:v>Wm (g)</c:v>
                </c:pt>
                <c:pt idx="4">
                  <c:v>Ws (g)</c:v>
                </c:pt>
                <c:pt idx="5">
                  <c:v>Wsys (g)</c:v>
                </c:pt>
                <c:pt idx="6">
                  <c:v>Wr (g)</c:v>
                </c:pt>
                <c:pt idx="7">
                  <c:v>Wc (g)</c:v>
                </c:pt>
              </c:strCache>
            </c:strRef>
          </c:cat>
          <c:val>
            <c:numRef>
              <c:f>Sheet1!$B$4:$I$4</c:f>
              <c:numCache>
                <c:formatCode>General</c:formatCode>
                <c:ptCount val="8"/>
                <c:pt idx="0">
                  <c:v>90.6</c:v>
                </c:pt>
                <c:pt idx="1">
                  <c:v>185.84</c:v>
                </c:pt>
                <c:pt idx="3">
                  <c:v>197.96</c:v>
                </c:pt>
                <c:pt idx="4">
                  <c:v>282.79999999999995</c:v>
                </c:pt>
                <c:pt idx="6">
                  <c:v>23.432000000000002</c:v>
                </c:pt>
                <c:pt idx="7">
                  <c:v>26.664000000000001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7-C948-B67E-B7EA344B81E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5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137160</xdr:colOff>
      <xdr:row>5</xdr:row>
      <xdr:rowOff>101600</xdr:rowOff>
    </xdr:from>
    <xdr:to>
      <xdr:col>14</xdr:col>
      <xdr:colOff>594360</xdr:colOff>
      <xdr:row>19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379D5D-1B47-A8D1-6A74-990D6C159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4212-2B88-9444-A60A-E5B76AF9F21C}">
  <dimension ref="A1:M4"/>
  <sheetViews>
    <sheetView tabSelected="1" zoomScale="125" zoomScaleNormal="166" workbookViewId="0">
      <selection activeCell="I9" sqref="I9"/>
    </sheetView>
  </sheetViews>
  <sheetFormatPr baseColWidth="10" defaultRowHeight="16" x14ac:dyDescent="0.2"/>
  <cols>
    <col min="2" max="2" width="13.83203125" customWidth="1"/>
  </cols>
  <sheetData>
    <row r="1" spans="1:13" x14ac:dyDescent="0.2">
      <c r="A1" t="s">
        <v>0</v>
      </c>
      <c r="B1" t="s">
        <v>2</v>
      </c>
      <c r="C1" t="s">
        <v>3</v>
      </c>
      <c r="D1" t="s">
        <v>13</v>
      </c>
      <c r="E1" t="s">
        <v>4</v>
      </c>
      <c r="F1" t="s">
        <v>5</v>
      </c>
      <c r="G1" t="s">
        <v>6</v>
      </c>
      <c r="H1" t="s">
        <v>7</v>
      </c>
      <c r="I1" t="s">
        <v>17</v>
      </c>
      <c r="J1" t="s">
        <v>8</v>
      </c>
      <c r="K1" t="s">
        <v>9</v>
      </c>
      <c r="L1" t="s">
        <v>11</v>
      </c>
    </row>
    <row r="2" spans="1:13" x14ac:dyDescent="0.2">
      <c r="A2" t="s">
        <v>1</v>
      </c>
      <c r="B2">
        <f>250*L2</f>
        <v>113398</v>
      </c>
      <c r="C2">
        <f>0.216*J2</f>
        <v>129818.0304</v>
      </c>
      <c r="D2">
        <f>0.09*J2</f>
        <v>54090.845999999998</v>
      </c>
      <c r="F2">
        <f>0.297*J2</f>
        <v>178499.79180000001</v>
      </c>
      <c r="G2">
        <f>0.205*J2</f>
        <v>123206.927</v>
      </c>
      <c r="J2">
        <f>1325*L2</f>
        <v>601009.4</v>
      </c>
      <c r="K2" t="s">
        <v>10</v>
      </c>
      <c r="L2">
        <v>453.59199999999998</v>
      </c>
      <c r="M2" t="s">
        <v>12</v>
      </c>
    </row>
    <row r="3" spans="1:13" x14ac:dyDescent="0.2">
      <c r="A3" t="s">
        <v>14</v>
      </c>
      <c r="B3">
        <f>1200*L2</f>
        <v>544310.4</v>
      </c>
      <c r="C3">
        <f>0.241*J3</f>
        <v>789368.467512</v>
      </c>
      <c r="D3">
        <f>0.19*J3</f>
        <v>622323.68807999999</v>
      </c>
      <c r="F3">
        <f>0.257*J3</f>
        <v>841774.67282400001</v>
      </c>
      <c r="G3">
        <f>0.146*J3</f>
        <v>478206.62347199995</v>
      </c>
      <c r="J3">
        <f>7221*L2</f>
        <v>3275387.8319999999</v>
      </c>
      <c r="K3" t="s">
        <v>10</v>
      </c>
    </row>
    <row r="4" spans="1:13" x14ac:dyDescent="0.2">
      <c r="A4" t="s">
        <v>15</v>
      </c>
      <c r="B4">
        <v>90.6</v>
      </c>
      <c r="C4">
        <f>0.23*J4</f>
        <v>185.84</v>
      </c>
      <c r="E4">
        <f>0.245*J4</f>
        <v>197.96</v>
      </c>
      <c r="F4">
        <f>0.35*J4</f>
        <v>282.79999999999995</v>
      </c>
      <c r="H4">
        <f>0.029*J4</f>
        <v>23.432000000000002</v>
      </c>
      <c r="I4">
        <f>0.033*J4</f>
        <v>26.664000000000001</v>
      </c>
      <c r="J4">
        <v>808</v>
      </c>
      <c r="K4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Asper</dc:creator>
  <cp:lastModifiedBy>Matthew Asper</cp:lastModifiedBy>
  <dcterms:created xsi:type="dcterms:W3CDTF">2024-11-16T22:20:09Z</dcterms:created>
  <dcterms:modified xsi:type="dcterms:W3CDTF">2024-11-16T23:16:03Z</dcterms:modified>
</cp:coreProperties>
</file>